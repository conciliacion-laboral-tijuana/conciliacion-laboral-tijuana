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F2ED988-C609-4B74-A07F-57669A705A06}" xr6:coauthVersionLast="47" xr6:coauthVersionMax="47" xr10:uidLastSave="{00000000-0000-0000-0000-000000000000}"/>
  <bookViews>
    <workbookView xWindow="-120" yWindow="-120" windowWidth="24240" windowHeight="13140" activeTab="1" xr2:uid="{DEE6BC49-B235-4C85-BCCA-61EC3AC5FA39}"/>
  </bookViews>
  <sheets>
    <sheet name="JULIO" sheetId="1" r:id="rId1"/>
    <sheet name="AGOST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2" l="1"/>
  <c r="F14" i="2"/>
  <c r="F13" i="2"/>
  <c r="F12" i="2"/>
  <c r="F11" i="2"/>
  <c r="F10" i="2"/>
  <c r="F9" i="2"/>
  <c r="F8" i="2"/>
  <c r="F7" i="2"/>
  <c r="F6" i="2"/>
  <c r="F5" i="2"/>
  <c r="F4" i="2"/>
  <c r="F3" i="2"/>
  <c r="F2" i="2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J28" i="1" s="1"/>
  <c r="F27" i="1"/>
  <c r="J27" i="1" s="1"/>
  <c r="F26" i="1"/>
  <c r="J26" i="1" s="1"/>
  <c r="F25" i="1"/>
  <c r="J25" i="1" s="1"/>
  <c r="F24" i="1"/>
  <c r="J24" i="1" s="1"/>
  <c r="F23" i="1"/>
  <c r="J23" i="1" s="1"/>
  <c r="K23" i="1" s="1"/>
  <c r="F22" i="1"/>
  <c r="J22" i="1" s="1"/>
  <c r="K22" i="1" s="1"/>
  <c r="F21" i="1"/>
  <c r="J21" i="1" s="1"/>
  <c r="K21" i="1" s="1"/>
  <c r="F20" i="1"/>
  <c r="J20" i="1" s="1"/>
  <c r="K20" i="1" s="1"/>
  <c r="F19" i="1"/>
  <c r="J19" i="1" s="1"/>
  <c r="K19" i="1" s="1"/>
  <c r="F18" i="1"/>
  <c r="J18" i="1" s="1"/>
  <c r="F17" i="1"/>
  <c r="J17" i="1" s="1"/>
  <c r="F16" i="1"/>
  <c r="J16" i="1" s="1"/>
  <c r="F15" i="1"/>
  <c r="J15" i="1" s="1"/>
  <c r="K15" i="1" s="1"/>
  <c r="F14" i="1"/>
  <c r="J14" i="1" s="1"/>
  <c r="F13" i="1"/>
  <c r="J13" i="1" s="1"/>
  <c r="K13" i="1" s="1"/>
  <c r="F12" i="1"/>
  <c r="J12" i="1" s="1"/>
  <c r="K12" i="1" s="1"/>
  <c r="F11" i="1"/>
  <c r="J11" i="1" s="1"/>
  <c r="K11" i="1" s="1"/>
  <c r="F10" i="1"/>
  <c r="J10" i="1" s="1"/>
  <c r="K10" i="1" s="1"/>
  <c r="F9" i="1"/>
  <c r="J9" i="1" s="1"/>
  <c r="K9" i="1" s="1"/>
  <c r="F8" i="1"/>
  <c r="K8" i="1" s="1"/>
  <c r="F7" i="1"/>
  <c r="J7" i="1" s="1"/>
  <c r="K7" i="1" s="1"/>
  <c r="F6" i="1"/>
  <c r="J6" i="1" s="1"/>
  <c r="K6" i="1" s="1"/>
  <c r="F5" i="1"/>
  <c r="J5" i="1" s="1"/>
  <c r="K5" i="1" s="1"/>
  <c r="F4" i="1"/>
  <c r="J4" i="1" s="1"/>
  <c r="K4" i="1" s="1"/>
  <c r="F3" i="1"/>
  <c r="J3" i="1" s="1"/>
  <c r="K3" i="1" s="1"/>
  <c r="F2" i="1"/>
  <c r="J2" i="1" s="1"/>
  <c r="K2" i="1" s="1"/>
  <c r="K24" i="1" l="1"/>
  <c r="K25" i="1"/>
  <c r="J8" i="1"/>
  <c r="M26" i="1" s="1"/>
</calcChain>
</file>

<file path=xl/sharedStrings.xml><?xml version="1.0" encoding="utf-8"?>
<sst xmlns="http://schemas.openxmlformats.org/spreadsheetml/2006/main" count="343" uniqueCount="139">
  <si>
    <t>MERIDIAN MANUFACTORING OPERATIONS, S. DE R.L. DE C.V.</t>
  </si>
  <si>
    <t>02 DE JULIO DE 2026</t>
  </si>
  <si>
    <t>PATRICIA/CONY</t>
  </si>
  <si>
    <t>Kevin</t>
  </si>
  <si>
    <t>CLT OTAY</t>
  </si>
  <si>
    <t>SAMIA BOUGHADER MUCHARRAFILLE</t>
  </si>
  <si>
    <t>03 DE JULIO DE 2026</t>
  </si>
  <si>
    <t>Kevin 3pm+</t>
  </si>
  <si>
    <t>Damaris</t>
  </si>
  <si>
    <t>MOTORCAR PARTS DE MEXICO, S.A. DE C.V.</t>
  </si>
  <si>
    <t>DULCE</t>
  </si>
  <si>
    <t>CONCRETOS 2020, S.A. DE C.V.</t>
  </si>
  <si>
    <t>CAROLINA</t>
  </si>
  <si>
    <t>CLT CJL</t>
  </si>
  <si>
    <t>TECNICAS E INDUSTRIALES, S. DE R.L. DE C.V.</t>
  </si>
  <si>
    <t>BOE VISION ELECTRONIC TECHNOLOGY MEXICO, S.A. DE C.V.</t>
  </si>
  <si>
    <t>DAMARIS</t>
  </si>
  <si>
    <t>JOSE LUIS LOPEZ PEREZ</t>
  </si>
  <si>
    <t>06 DE JULIO DE 2026</t>
  </si>
  <si>
    <t>Pathy</t>
  </si>
  <si>
    <t>Dulce</t>
  </si>
  <si>
    <t>CLT PP</t>
  </si>
  <si>
    <t xml:space="preserve">GABRIEL ARELLANO DUENAS </t>
  </si>
  <si>
    <t>8 DE JULIO DE 2026</t>
  </si>
  <si>
    <t>Silvia</t>
  </si>
  <si>
    <t>GABRIEL ARELLANO DUENAS</t>
  </si>
  <si>
    <t>GRUPO SETTEPI, S.A.P.I. DE C.V.</t>
  </si>
  <si>
    <t>09 DE JULIO DE 2026</t>
  </si>
  <si>
    <t>CAB LOGISTICS, S.A. DE C.V.</t>
  </si>
  <si>
    <t>INSTITUTO FRONTERA, A.C.</t>
  </si>
  <si>
    <t>SAIKA MEXICANA, S.A. DE C.V.</t>
  </si>
  <si>
    <t>10 DE JULIO DE 2026</t>
  </si>
  <si>
    <t>Brisa</t>
  </si>
  <si>
    <t>SIKERHEIT IRON ARM ASOCIADOS, S.C.</t>
  </si>
  <si>
    <t>BRISA</t>
  </si>
  <si>
    <t>GENLEANDS, S.A. DE C.V.</t>
  </si>
  <si>
    <t>13 DE JULIO DE 2026</t>
  </si>
  <si>
    <t xml:space="preserve">Damaris </t>
  </si>
  <si>
    <t>SSBCC MEXICO, S. DE R.L. DE C.V.</t>
  </si>
  <si>
    <t>14 DE JULIO DE 2026</t>
  </si>
  <si>
    <t xml:space="preserve">ALONDRA </t>
  </si>
  <si>
    <t xml:space="preserve">RICARDO ISAID DE LA TORRES MARTINEZ </t>
  </si>
  <si>
    <t>15 DE JULIO DE 2026</t>
  </si>
  <si>
    <t>DAMARIS/BRISA</t>
  </si>
  <si>
    <t>COPPEL, S.A. DE C.V.</t>
  </si>
  <si>
    <t>DAMARIS/FUERA</t>
  </si>
  <si>
    <t>OPERADORA ALCOMESA, S.A.P.I. DE C.V.</t>
  </si>
  <si>
    <t>16 DE JULIO DE 2026</t>
  </si>
  <si>
    <t>RICARDO</t>
  </si>
  <si>
    <t>METALES EKO ZERO</t>
  </si>
  <si>
    <t>21 DE JULIO DE 2026</t>
  </si>
  <si>
    <t>Nínive</t>
  </si>
  <si>
    <t>TIENDAS SORIANA, S.A. DE C.V.</t>
  </si>
  <si>
    <t>22 DE JULIO DE 2026</t>
  </si>
  <si>
    <t>CALL CENTER SERVICES, S.A. DE C.V.</t>
  </si>
  <si>
    <t>Cony</t>
  </si>
  <si>
    <t>MEDTRONIC MEXICO, S. DE R.L. DE C.V.</t>
  </si>
  <si>
    <t>24 DE JULIO DE 2026</t>
  </si>
  <si>
    <t>PAN XOLOS, S.A. DE C.V.</t>
  </si>
  <si>
    <t xml:space="preserve">DULCE </t>
  </si>
  <si>
    <t>CHRISTIAN</t>
  </si>
  <si>
    <t>CALL CENTER SERVICES S.A. DE C.V.</t>
  </si>
  <si>
    <t>28 DE JULIO DE 2026</t>
  </si>
  <si>
    <t>N/A</t>
  </si>
  <si>
    <t>HANS</t>
  </si>
  <si>
    <t>29 DE JULIO DE 2026</t>
  </si>
  <si>
    <t>SIGNIFY ELECTRONICS MEXICO, S.A. DE C.V.</t>
  </si>
  <si>
    <t>30 DE JULIO DE 2026</t>
  </si>
  <si>
    <t>31 DE JULIO DE 2026</t>
  </si>
  <si>
    <t>ALONDRA/DULCE</t>
  </si>
  <si>
    <t>COMPAÑÍA EMBOTELLADORA DEL FUERTE, S DE RL DE CV</t>
  </si>
  <si>
    <t xml:space="preserve">DAMARIS </t>
  </si>
  <si>
    <t>BACHOCO SA DE CV</t>
  </si>
  <si>
    <t>03 DE AGOSTO DE 2026</t>
  </si>
  <si>
    <t>DULCE/3PM+</t>
  </si>
  <si>
    <t>AUTOZONE DE MEXICO</t>
  </si>
  <si>
    <t>04 DE AGOSTO DE 2026</t>
  </si>
  <si>
    <t>YAMILET</t>
  </si>
  <si>
    <t xml:space="preserve">SAFRAN CABIN TIJUANA, S.A. DE C.V. </t>
  </si>
  <si>
    <t>07 DE AGOSTO DE 2026</t>
  </si>
  <si>
    <t>LA BODEGA OCHO DE LA BAJA, S.A. DE C.V.</t>
  </si>
  <si>
    <t>GAS SILZA, S.A. DE C.V.</t>
  </si>
  <si>
    <t>12 DE AGOSTO DE 2026</t>
  </si>
  <si>
    <t>damaris</t>
  </si>
  <si>
    <t>14 DE AGOSTO DE 2026</t>
  </si>
  <si>
    <t>FARMACIAS MODERNAS DE TIJUANA, S.A. DE C.V.</t>
  </si>
  <si>
    <t xml:space="preserve">Nínive </t>
  </si>
  <si>
    <t>CADENA COMERCIAL OXXO, S.A. DE C.V.</t>
  </si>
  <si>
    <t>18 DE AGOSTO DE 2026</t>
  </si>
  <si>
    <t>OPERADORA DE CINEMAS, S.A. DE C.V.</t>
  </si>
  <si>
    <t>20 DE AGOSTO DE 2026</t>
  </si>
  <si>
    <t xml:space="preserve">JUAN </t>
  </si>
  <si>
    <t>28 DE AGOSTO DE 2026</t>
  </si>
  <si>
    <t>SJG OPERADORA, S.A. DE C.V.</t>
  </si>
  <si>
    <t>04 DE SEPTIEMBRE DE 2026</t>
  </si>
  <si>
    <t>KEVIN</t>
  </si>
  <si>
    <t>RICARDO ISAID DE LA TORRES MARTINEZ</t>
  </si>
  <si>
    <t>15 DE SEPTIEMBRE DE 2026</t>
  </si>
  <si>
    <t>EMA GRACIELA GIL CASTILLO</t>
  </si>
  <si>
    <t>JESUS RAMON VALENZUELA DE JESUS</t>
  </si>
  <si>
    <t>YESENIA ISABEL SOL RAMIREZ</t>
  </si>
  <si>
    <t>MARTINIANO PINEDA SOSA</t>
  </si>
  <si>
    <t xml:space="preserve">FERNANDO SALAZAR GOMEZ </t>
  </si>
  <si>
    <t>YANET ORAMAS GUZMAN</t>
  </si>
  <si>
    <t>ARTURO GERARDO DOMINGUEZ LOPEZ</t>
  </si>
  <si>
    <t xml:space="preserve">EDWIN GENARO LIRA AGUILAR </t>
  </si>
  <si>
    <t xml:space="preserve">ANGEL GABRIEL CHAVEZ MORALES </t>
  </si>
  <si>
    <t>PABLO NATANAEL CASTAÑEDA GUTIERREZ</t>
  </si>
  <si>
    <t>LUIS ANGEL DIARTE YOCUPICIO</t>
  </si>
  <si>
    <t>KAREN ALEXIA CARRERA NONATO</t>
  </si>
  <si>
    <t>MIGUEL FRANCO MONTIEL</t>
  </si>
  <si>
    <t>OSCAR EDUARDO AHGUE Galván</t>
  </si>
  <si>
    <t>OSCAR GONZALEZ VAZQUEZ</t>
  </si>
  <si>
    <t>CRISTINA MARTINEZ MICHAUS</t>
  </si>
  <si>
    <t>CARLOS PEREZ TORRES</t>
  </si>
  <si>
    <t>LIZETH ALMA VAZQUEZ ITURVE</t>
  </si>
  <si>
    <t>EDUARDO ABISAI CARMONA ENRIQUEZ</t>
  </si>
  <si>
    <t>EDUARDO VARGAS CAMACHO</t>
  </si>
  <si>
    <t>SINAI CERNAS HERNANDEZ</t>
  </si>
  <si>
    <t xml:space="preserve">JOSE LUIS RODRIGUEZ MARTINEZ </t>
  </si>
  <si>
    <t xml:space="preserve">MARIBEL TOBIE CASILLAS </t>
  </si>
  <si>
    <t>DANIELA SOLEDAD RUEDA PEREZ</t>
  </si>
  <si>
    <t>ALEJANDRO LARA MEJIA</t>
  </si>
  <si>
    <t>VIRGINIO SINAI DELABRA REBOLLAR</t>
  </si>
  <si>
    <t>MICHAELL GALICIA GONZALEZ</t>
  </si>
  <si>
    <t>ELFEGO DANIEL MEDINA HERRERA</t>
  </si>
  <si>
    <t>JORDAN ALEXIS MACEGOZA MORAN</t>
  </si>
  <si>
    <t xml:space="preserve">ELIAB PEREZ HERNANDEZ </t>
  </si>
  <si>
    <t>JERSON DANIEL VILLA LOPEZ</t>
  </si>
  <si>
    <t>JOSE MANUEL LEAL VILLARREAL</t>
  </si>
  <si>
    <t>ADALBERTO AMBROCIO MENDEZ</t>
  </si>
  <si>
    <t xml:space="preserve">MAURICIO CRUZ LOPEZ MENDEZ </t>
  </si>
  <si>
    <t>MARIA SAGRARIO RETA DEL HOYO</t>
  </si>
  <si>
    <t>Limber De Leon Hernandez</t>
  </si>
  <si>
    <t>RODOLFO LLOVET GARCIA</t>
  </si>
  <si>
    <t>EDUARDO FUENTES NAVARRO</t>
  </si>
  <si>
    <t>DALAY DENNISSE DIONICIO BENITEZ</t>
  </si>
  <si>
    <t xml:space="preserve">MIROSLAVA ENTZANA DIAZ </t>
  </si>
  <si>
    <t>GLORIA ALICIA DIAZ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</si>
</sst>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8" formatCode="&quot;$&quot;#,##0.00;[Red]\-&quot;$&quot;#,##0.00"/>
    <numFmt numFmtId="164" formatCode="&quot;$&quot;#,##0.0;[Red]\-&quot;$&quot;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20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1" xfId="0" applyBorder="1"/>
    <xf numFmtId="0" fontId="1" fillId="0" borderId="5" xfId="0" applyFont="1" applyBorder="1"/>
    <xf numFmtId="0" fontId="0" fillId="0" borderId="5" xfId="0" applyBorder="1"/>
    <xf numFmtId="6" fontId="1" fillId="0" borderId="1" xfId="0" applyNumberFormat="1" applyFont="1" applyBorder="1"/>
    <xf numFmtId="6" fontId="0" fillId="0" borderId="1" xfId="0" applyNumberFormat="1" applyBorder="1"/>
    <xf numFmtId="6" fontId="1" fillId="0" borderId="5" xfId="0" applyNumberFormat="1" applyFont="1" applyBorder="1"/>
    <xf numFmtId="4" fontId="1" fillId="0" borderId="1" xfId="0" applyNumberFormat="1" applyFont="1" applyBorder="1"/>
    <xf numFmtId="0" fontId="1" fillId="2" borderId="2" xfId="0" applyFont="1" applyFill="1" applyBorder="1"/>
    <xf numFmtId="0" fontId="1" fillId="0" borderId="6" xfId="0" applyFont="1" applyBorder="1"/>
    <xf numFmtId="14" fontId="1" fillId="0" borderId="6" xfId="0" applyNumberFormat="1" applyFont="1" applyBorder="1"/>
    <xf numFmtId="20" fontId="1" fillId="0" borderId="6" xfId="0" applyNumberFormat="1" applyFont="1" applyBorder="1" applyAlignment="1">
      <alignment horizontal="center"/>
    </xf>
    <xf numFmtId="4" fontId="1" fillId="0" borderId="6" xfId="0" applyNumberFormat="1" applyFont="1" applyBorder="1"/>
    <xf numFmtId="3" fontId="1" fillId="0" borderId="6" xfId="0" applyNumberFormat="1" applyFont="1" applyBorder="1"/>
    <xf numFmtId="0" fontId="1" fillId="2" borderId="7" xfId="0" applyFont="1" applyFill="1" applyBorder="1"/>
    <xf numFmtId="0" fontId="0" fillId="0" borderId="8" xfId="0" applyBorder="1"/>
    <xf numFmtId="0" fontId="0" fillId="0" borderId="6" xfId="0" applyBorder="1"/>
    <xf numFmtId="0" fontId="1" fillId="0" borderId="0" xfId="0" applyFont="1"/>
    <xf numFmtId="0" fontId="1" fillId="0" borderId="8" xfId="0" applyFont="1" applyBorder="1"/>
    <xf numFmtId="0" fontId="1" fillId="0" borderId="7" xfId="0" applyFont="1" applyBorder="1"/>
    <xf numFmtId="6" fontId="1" fillId="2" borderId="1" xfId="0" applyNumberFormat="1" applyFont="1" applyFill="1" applyBorder="1"/>
    <xf numFmtId="0" fontId="1" fillId="0" borderId="4" xfId="0" applyFont="1" applyBorder="1"/>
    <xf numFmtId="6" fontId="0" fillId="2" borderId="1" xfId="0" applyNumberFormat="1" applyFill="1" applyBorder="1"/>
    <xf numFmtId="8" fontId="0" fillId="2" borderId="1" xfId="0" applyNumberFormat="1" applyFill="1" applyBorder="1"/>
    <xf numFmtId="3" fontId="1" fillId="2" borderId="1" xfId="0" applyNumberFormat="1" applyFont="1" applyFill="1" applyBorder="1"/>
    <xf numFmtId="0" fontId="0" fillId="2" borderId="1" xfId="0" applyFill="1" applyBorder="1"/>
    <xf numFmtId="0" fontId="1" fillId="2" borderId="1" xfId="0" applyFont="1" applyFill="1" applyBorder="1"/>
    <xf numFmtId="0" fontId="1" fillId="3" borderId="2" xfId="0" applyFont="1" applyFill="1" applyBorder="1"/>
    <xf numFmtId="8" fontId="0" fillId="0" borderId="5" xfId="0" applyNumberFormat="1" applyBorder="1"/>
    <xf numFmtId="0" fontId="1" fillId="0" borderId="0" xfId="0" applyFont="1" applyAlignment="1">
      <alignment horizontal="center"/>
    </xf>
    <xf numFmtId="6" fontId="1" fillId="0" borderId="0" xfId="0" applyNumberFormat="1" applyFont="1"/>
    <xf numFmtId="6" fontId="1" fillId="2" borderId="0" xfId="0" applyNumberFormat="1" applyFont="1" applyFill="1"/>
    <xf numFmtId="0" fontId="1" fillId="0" borderId="9" xfId="0" applyFont="1" applyBorder="1"/>
    <xf numFmtId="6" fontId="0" fillId="2" borderId="0" xfId="0" applyNumberFormat="1" applyFill="1"/>
    <xf numFmtId="6" fontId="0" fillId="0" borderId="0" xfId="0" applyNumberFormat="1"/>
    <xf numFmtId="8" fontId="0" fillId="0" borderId="0" xfId="0" applyNumberFormat="1"/>
    <xf numFmtId="6" fontId="1" fillId="0" borderId="6" xfId="0" applyNumberFormat="1" applyFont="1" applyBorder="1"/>
    <xf numFmtId="164" fontId="1" fillId="2" borderId="6" xfId="0" applyNumberFormat="1" applyFont="1" applyFill="1" applyBorder="1"/>
    <xf numFmtId="8" fontId="1" fillId="0" borderId="0" xfId="0" applyNumberFormat="1" applyFont="1"/>
    <xf numFmtId="164" fontId="1" fillId="0" borderId="6" xfId="0" applyNumberFormat="1" applyFont="1" applyBorder="1"/>
    <xf numFmtId="0" fontId="1" fillId="0" borderId="10" xfId="0" applyFont="1" applyBorder="1"/>
    <xf numFmtId="14" fontId="1" fillId="0" borderId="10" xfId="0" applyNumberFormat="1" applyFont="1" applyBorder="1"/>
    <xf numFmtId="20" fontId="1" fillId="0" borderId="10" xfId="0" applyNumberFormat="1" applyFont="1" applyBorder="1" applyAlignment="1">
      <alignment horizontal="center"/>
    </xf>
    <xf numFmtId="3" fontId="1" fillId="0" borderId="10" xfId="0" applyNumberFormat="1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6" fontId="1" fillId="0" borderId="10" xfId="0" applyNumberFormat="1" applyFont="1" applyBorder="1"/>
    <xf numFmtId="164" fontId="1" fillId="0" borderId="10" xfId="0" applyNumberFormat="1" applyFont="1" applyBorder="1"/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F82C-9707-4721-8327-31C4E525D241}">
  <dimension ref="A1:M44"/>
  <sheetViews>
    <sheetView topLeftCell="A22" workbookViewId="0">
      <selection activeCell="A31" sqref="A31:M44"/>
    </sheetView>
  </sheetViews>
  <sheetFormatPr baseColWidth="10" defaultRowHeight="15" x14ac:dyDescent="0.25"/>
  <cols>
    <col min="1" max="1" width="34.7109375" customWidth="1"/>
    <col min="2" max="2" width="34.28515625" customWidth="1"/>
    <col min="3" max="3" width="26.140625" customWidth="1"/>
  </cols>
  <sheetData>
    <row r="1" spans="1:13" ht="15.75" thickBot="1" x14ac:dyDescent="0.3"/>
    <row r="2" spans="1:13" ht="15.75" thickBot="1" x14ac:dyDescent="0.3">
      <c r="A2" s="1" t="s">
        <v>98</v>
      </c>
      <c r="B2" s="1" t="s">
        <v>0</v>
      </c>
      <c r="C2" s="2" t="s">
        <v>1</v>
      </c>
      <c r="D2" s="3">
        <v>0.62569444444444444</v>
      </c>
      <c r="E2" s="4">
        <v>40000</v>
      </c>
      <c r="F2" s="1">
        <f>E2*0.3-1200</f>
        <v>10800</v>
      </c>
      <c r="G2" s="5" t="s">
        <v>2</v>
      </c>
      <c r="H2" s="6" t="s">
        <v>3</v>
      </c>
      <c r="I2" s="7" t="s">
        <v>4</v>
      </c>
      <c r="J2" s="8">
        <f>F2/4</f>
        <v>2700</v>
      </c>
      <c r="K2" s="9">
        <f>J2</f>
        <v>2700</v>
      </c>
      <c r="L2" s="10"/>
      <c r="M2" s="10"/>
    </row>
    <row r="3" spans="1:13" ht="15.75" thickBot="1" x14ac:dyDescent="0.3">
      <c r="A3" s="1" t="s">
        <v>99</v>
      </c>
      <c r="B3" s="1" t="s">
        <v>5</v>
      </c>
      <c r="C3" s="2" t="s">
        <v>6</v>
      </c>
      <c r="D3" s="3">
        <v>0.375</v>
      </c>
      <c r="E3" s="4">
        <v>25000</v>
      </c>
      <c r="F3" s="11">
        <f>E3*0.3-1500</f>
        <v>6000</v>
      </c>
      <c r="G3" s="5" t="s">
        <v>7</v>
      </c>
      <c r="H3" s="6" t="s">
        <v>8</v>
      </c>
      <c r="I3" s="7" t="s">
        <v>4</v>
      </c>
      <c r="J3" s="12">
        <f>F3/4</f>
        <v>1500</v>
      </c>
      <c r="K3" s="13">
        <f>J3</f>
        <v>1500</v>
      </c>
      <c r="L3" s="10"/>
      <c r="M3" s="10"/>
    </row>
    <row r="4" spans="1:13" ht="15.75" thickBot="1" x14ac:dyDescent="0.3">
      <c r="A4" s="1" t="s">
        <v>100</v>
      </c>
      <c r="B4" s="1" t="s">
        <v>9</v>
      </c>
      <c r="C4" s="2" t="s">
        <v>6</v>
      </c>
      <c r="D4" s="3">
        <v>0.39583333333333331</v>
      </c>
      <c r="E4" s="14">
        <v>44933.64</v>
      </c>
      <c r="F4" s="1">
        <f>E4*0.3-1350</f>
        <v>12130.091999999999</v>
      </c>
      <c r="G4" s="15" t="s">
        <v>10</v>
      </c>
      <c r="H4" s="6"/>
      <c r="I4" s="7" t="s">
        <v>4</v>
      </c>
      <c r="J4" s="8">
        <f>F4/4</f>
        <v>3032.5229999999997</v>
      </c>
      <c r="K4" s="10">
        <f>J4</f>
        <v>3032.5229999999997</v>
      </c>
      <c r="L4" s="10"/>
      <c r="M4" s="10"/>
    </row>
    <row r="5" spans="1:13" x14ac:dyDescent="0.25">
      <c r="A5" s="16" t="s">
        <v>101</v>
      </c>
      <c r="B5" s="16" t="s">
        <v>11</v>
      </c>
      <c r="C5" s="17" t="s">
        <v>6</v>
      </c>
      <c r="D5" s="18">
        <v>0.52083333333333337</v>
      </c>
      <c r="E5" s="19">
        <v>25000</v>
      </c>
      <c r="F5" s="20">
        <f>5000-500</f>
        <v>4500</v>
      </c>
      <c r="G5" s="21" t="s">
        <v>12</v>
      </c>
      <c r="H5" s="6" t="s">
        <v>10</v>
      </c>
      <c r="I5" s="22" t="s">
        <v>13</v>
      </c>
      <c r="J5" s="23">
        <f>F5/2</f>
        <v>2250</v>
      </c>
      <c r="K5" s="24">
        <f>J5/2</f>
        <v>1125</v>
      </c>
    </row>
    <row r="6" spans="1:13" x14ac:dyDescent="0.25">
      <c r="A6" s="16" t="s">
        <v>102</v>
      </c>
      <c r="B6" s="16" t="s">
        <v>14</v>
      </c>
      <c r="C6" s="17" t="s">
        <v>6</v>
      </c>
      <c r="D6" s="18">
        <v>0.54166666666666663</v>
      </c>
      <c r="E6" s="19">
        <v>35000</v>
      </c>
      <c r="F6" s="20">
        <f>E6*0.3-1050</f>
        <v>9450</v>
      </c>
      <c r="G6" s="21" t="s">
        <v>8</v>
      </c>
      <c r="H6" s="6"/>
      <c r="I6" s="22" t="s">
        <v>4</v>
      </c>
      <c r="J6" s="23">
        <f>F6/4</f>
        <v>2362.5</v>
      </c>
      <c r="K6" s="24">
        <f>J6</f>
        <v>2362.5</v>
      </c>
    </row>
    <row r="7" spans="1:13" x14ac:dyDescent="0.25">
      <c r="A7" s="16" t="s">
        <v>103</v>
      </c>
      <c r="B7" s="16" t="s">
        <v>15</v>
      </c>
      <c r="C7" s="17" t="s">
        <v>6</v>
      </c>
      <c r="D7" s="18">
        <v>0.54166666666666663</v>
      </c>
      <c r="E7" s="19">
        <v>37000</v>
      </c>
      <c r="F7" s="20">
        <f>E7*0.3-1100</f>
        <v>10000</v>
      </c>
      <c r="G7" s="21" t="s">
        <v>12</v>
      </c>
      <c r="H7" s="6" t="s">
        <v>16</v>
      </c>
      <c r="I7" s="25" t="s">
        <v>13</v>
      </c>
      <c r="J7" s="23">
        <f>F7/2</f>
        <v>5000</v>
      </c>
      <c r="K7" s="24">
        <f>J7/2</f>
        <v>2500</v>
      </c>
    </row>
    <row r="8" spans="1:13" x14ac:dyDescent="0.25">
      <c r="A8" s="16" t="s">
        <v>104</v>
      </c>
      <c r="B8" s="16" t="s">
        <v>17</v>
      </c>
      <c r="C8" s="17" t="s">
        <v>18</v>
      </c>
      <c r="D8" s="18">
        <v>0.5625</v>
      </c>
      <c r="E8" s="19">
        <v>9000</v>
      </c>
      <c r="F8" s="20">
        <f>2700-270</f>
        <v>2430</v>
      </c>
      <c r="G8" s="26" t="s">
        <v>19</v>
      </c>
      <c r="H8" s="6" t="s">
        <v>20</v>
      </c>
      <c r="I8" s="22" t="s">
        <v>21</v>
      </c>
      <c r="J8" s="23">
        <f>F8/4</f>
        <v>607.5</v>
      </c>
      <c r="K8" s="24">
        <f>F8/4</f>
        <v>607.5</v>
      </c>
    </row>
    <row r="9" spans="1:13" x14ac:dyDescent="0.25">
      <c r="A9" s="16" t="s">
        <v>105</v>
      </c>
      <c r="B9" s="16" t="s">
        <v>22</v>
      </c>
      <c r="C9" s="17" t="s">
        <v>23</v>
      </c>
      <c r="D9" s="18">
        <v>0.35416666666666669</v>
      </c>
      <c r="E9" s="19">
        <v>6050</v>
      </c>
      <c r="F9" s="20">
        <f>3025-300</f>
        <v>2725</v>
      </c>
      <c r="G9" s="26" t="s">
        <v>24</v>
      </c>
      <c r="H9" s="6" t="s">
        <v>8</v>
      </c>
      <c r="I9" s="22" t="s">
        <v>21</v>
      </c>
      <c r="J9" s="23">
        <f>F9/4</f>
        <v>681.25</v>
      </c>
      <c r="K9" s="24">
        <f>J9</f>
        <v>681.25</v>
      </c>
    </row>
    <row r="10" spans="1:13" x14ac:dyDescent="0.25">
      <c r="A10" s="16" t="s">
        <v>106</v>
      </c>
      <c r="B10" s="16" t="s">
        <v>25</v>
      </c>
      <c r="C10" s="17" t="s">
        <v>23</v>
      </c>
      <c r="D10" s="18">
        <v>0.35416666666666669</v>
      </c>
      <c r="E10" s="19">
        <v>3875.97</v>
      </c>
      <c r="F10" s="20">
        <f>1937.98-190</f>
        <v>1747.98</v>
      </c>
      <c r="G10" s="26" t="s">
        <v>24</v>
      </c>
      <c r="H10" s="6" t="s">
        <v>8</v>
      </c>
      <c r="I10" s="22" t="s">
        <v>21</v>
      </c>
      <c r="J10" s="23">
        <f>F10/4</f>
        <v>436.995</v>
      </c>
      <c r="K10" s="24">
        <f>J10</f>
        <v>436.995</v>
      </c>
    </row>
    <row r="11" spans="1:13" ht="15.75" thickBot="1" x14ac:dyDescent="0.3">
      <c r="A11" s="16" t="s">
        <v>107</v>
      </c>
      <c r="B11" s="16" t="s">
        <v>26</v>
      </c>
      <c r="C11" s="17" t="s">
        <v>27</v>
      </c>
      <c r="D11" s="18">
        <v>0.39583333333333331</v>
      </c>
      <c r="E11" s="19">
        <v>15500</v>
      </c>
      <c r="F11" s="20">
        <f>4650-460</f>
        <v>4190</v>
      </c>
      <c r="G11" s="26" t="s">
        <v>19</v>
      </c>
      <c r="H11" s="6" t="s">
        <v>3</v>
      </c>
      <c r="I11" s="22" t="s">
        <v>21</v>
      </c>
      <c r="J11" s="23">
        <f>F11/4</f>
        <v>1047.5</v>
      </c>
      <c r="K11" s="24">
        <f>J11</f>
        <v>1047.5</v>
      </c>
    </row>
    <row r="12" spans="1:13" ht="15.75" thickBot="1" x14ac:dyDescent="0.3">
      <c r="A12" s="1" t="s">
        <v>108</v>
      </c>
      <c r="B12" s="1" t="s">
        <v>28</v>
      </c>
      <c r="C12" s="2" t="s">
        <v>27</v>
      </c>
      <c r="D12" s="3">
        <v>0.39583333333333331</v>
      </c>
      <c r="E12" s="4">
        <v>69000</v>
      </c>
      <c r="F12" s="1">
        <f>E12*0.3-2070</f>
        <v>18630</v>
      </c>
      <c r="G12" s="15" t="s">
        <v>12</v>
      </c>
      <c r="H12" s="6" t="s">
        <v>16</v>
      </c>
      <c r="I12" s="7" t="s">
        <v>13</v>
      </c>
      <c r="J12" s="8">
        <f>F12/4</f>
        <v>4657.5</v>
      </c>
      <c r="K12" s="9">
        <f>J12</f>
        <v>4657.5</v>
      </c>
      <c r="L12" s="10"/>
      <c r="M12" s="10"/>
    </row>
    <row r="13" spans="1:13" ht="15.75" thickBot="1" x14ac:dyDescent="0.3">
      <c r="A13" s="1" t="s">
        <v>109</v>
      </c>
      <c r="B13" s="1" t="s">
        <v>29</v>
      </c>
      <c r="C13" s="2" t="s">
        <v>27</v>
      </c>
      <c r="D13" s="3">
        <v>0.4375</v>
      </c>
      <c r="E13" s="4">
        <v>16400</v>
      </c>
      <c r="F13" s="1">
        <f>4900-490</f>
        <v>4410</v>
      </c>
      <c r="G13" s="5" t="s">
        <v>2</v>
      </c>
      <c r="H13" s="6" t="s">
        <v>16</v>
      </c>
      <c r="I13" s="7" t="s">
        <v>21</v>
      </c>
      <c r="J13" s="8">
        <f>F13/3</f>
        <v>1470</v>
      </c>
      <c r="K13" s="9">
        <f>J13</f>
        <v>1470</v>
      </c>
      <c r="L13" s="10"/>
      <c r="M13" s="10"/>
    </row>
    <row r="14" spans="1:13" ht="15.75" thickBot="1" x14ac:dyDescent="0.3">
      <c r="A14" s="1" t="s">
        <v>110</v>
      </c>
      <c r="B14" s="1" t="s">
        <v>30</v>
      </c>
      <c r="C14" s="2" t="s">
        <v>31</v>
      </c>
      <c r="D14" s="3">
        <v>0.52083333333333337</v>
      </c>
      <c r="E14" s="4">
        <v>100000</v>
      </c>
      <c r="F14" s="27">
        <f>30000-3000</f>
        <v>27000</v>
      </c>
      <c r="G14" s="15" t="s">
        <v>32</v>
      </c>
      <c r="H14" s="6" t="s">
        <v>32</v>
      </c>
      <c r="I14" s="28" t="s">
        <v>4</v>
      </c>
      <c r="J14" s="29">
        <f t="shared" ref="J14:J25" si="0">F14/4</f>
        <v>6750</v>
      </c>
      <c r="K14" s="9"/>
      <c r="L14" s="10"/>
      <c r="M14" s="10"/>
    </row>
    <row r="15" spans="1:13" ht="15.75" thickBot="1" x14ac:dyDescent="0.3">
      <c r="A15" s="1" t="s">
        <v>111</v>
      </c>
      <c r="B15" s="1" t="s">
        <v>33</v>
      </c>
      <c r="C15" s="2" t="s">
        <v>31</v>
      </c>
      <c r="D15" s="3">
        <v>0.625</v>
      </c>
      <c r="E15" s="4">
        <v>30000</v>
      </c>
      <c r="F15" s="4">
        <f>9000-4500</f>
        <v>4500</v>
      </c>
      <c r="G15" s="15" t="s">
        <v>34</v>
      </c>
      <c r="H15" s="6" t="s">
        <v>34</v>
      </c>
      <c r="I15" s="28" t="s">
        <v>4</v>
      </c>
      <c r="J15" s="8">
        <f t="shared" si="0"/>
        <v>1125</v>
      </c>
      <c r="K15" s="9">
        <f>J15</f>
        <v>1125</v>
      </c>
      <c r="L15" s="10"/>
      <c r="M15" s="10"/>
    </row>
    <row r="16" spans="1:13" ht="15.75" thickBot="1" x14ac:dyDescent="0.3">
      <c r="A16" s="1" t="s">
        <v>112</v>
      </c>
      <c r="B16" s="1" t="s">
        <v>35</v>
      </c>
      <c r="C16" s="2" t="s">
        <v>36</v>
      </c>
      <c r="D16" s="3">
        <v>0.39513888888888887</v>
      </c>
      <c r="E16" s="4">
        <v>35000</v>
      </c>
      <c r="F16" s="27">
        <f>10500-1050</f>
        <v>9450</v>
      </c>
      <c r="G16" s="15" t="s">
        <v>37</v>
      </c>
      <c r="H16" s="6" t="s">
        <v>32</v>
      </c>
      <c r="I16" s="28" t="s">
        <v>4</v>
      </c>
      <c r="J16" s="30">
        <f t="shared" si="0"/>
        <v>2362.5</v>
      </c>
      <c r="K16" s="9"/>
      <c r="L16" s="10"/>
      <c r="M16" s="10"/>
    </row>
    <row r="17" spans="1:13" ht="15.75" thickBot="1" x14ac:dyDescent="0.3">
      <c r="A17" s="1" t="s">
        <v>113</v>
      </c>
      <c r="B17" s="1" t="s">
        <v>38</v>
      </c>
      <c r="C17" s="2" t="s">
        <v>39</v>
      </c>
      <c r="D17" s="3">
        <v>0.4375</v>
      </c>
      <c r="E17" s="4">
        <v>45000</v>
      </c>
      <c r="F17" s="31">
        <f>13500-1350</f>
        <v>12150</v>
      </c>
      <c r="G17" s="15" t="s">
        <v>40</v>
      </c>
      <c r="H17" s="6" t="s">
        <v>40</v>
      </c>
      <c r="I17" s="28" t="s">
        <v>13</v>
      </c>
      <c r="J17" s="32">
        <f t="shared" si="0"/>
        <v>3037.5</v>
      </c>
      <c r="K17" s="9"/>
      <c r="L17" s="10"/>
      <c r="M17" s="10"/>
    </row>
    <row r="18" spans="1:13" ht="15.75" thickBot="1" x14ac:dyDescent="0.3">
      <c r="A18" s="1" t="s">
        <v>114</v>
      </c>
      <c r="B18" s="1" t="s">
        <v>41</v>
      </c>
      <c r="C18" s="14" t="s">
        <v>42</v>
      </c>
      <c r="D18" s="3">
        <v>0.35416666666666669</v>
      </c>
      <c r="E18" s="14">
        <v>11867</v>
      </c>
      <c r="F18" s="33">
        <f>E18*0.3-350</f>
        <v>3210.1</v>
      </c>
      <c r="G18" s="15" t="s">
        <v>43</v>
      </c>
      <c r="H18" s="6" t="s">
        <v>16</v>
      </c>
      <c r="I18" s="28" t="s">
        <v>4</v>
      </c>
      <c r="J18" s="32">
        <f t="shared" si="0"/>
        <v>802.52499999999998</v>
      </c>
      <c r="K18" s="10"/>
      <c r="L18" s="10"/>
      <c r="M18" s="10"/>
    </row>
    <row r="19" spans="1:13" ht="15.75" thickBot="1" x14ac:dyDescent="0.3">
      <c r="A19" s="1" t="s">
        <v>115</v>
      </c>
      <c r="B19" s="1" t="s">
        <v>44</v>
      </c>
      <c r="C19" s="14" t="s">
        <v>42</v>
      </c>
      <c r="D19" s="3">
        <v>0.39583333333333331</v>
      </c>
      <c r="E19" s="14">
        <v>28172.21</v>
      </c>
      <c r="F19" s="14">
        <f>14000-7000</f>
        <v>7000</v>
      </c>
      <c r="G19" s="15" t="s">
        <v>45</v>
      </c>
      <c r="H19" s="6" t="s">
        <v>16</v>
      </c>
      <c r="I19" s="28" t="s">
        <v>4</v>
      </c>
      <c r="J19" s="8">
        <f t="shared" si="0"/>
        <v>1750</v>
      </c>
      <c r="K19" s="10">
        <f t="shared" ref="K19:K24" si="1">J19</f>
        <v>1750</v>
      </c>
      <c r="L19" s="10"/>
      <c r="M19" s="10"/>
    </row>
    <row r="20" spans="1:13" ht="15.75" thickBot="1" x14ac:dyDescent="0.3">
      <c r="A20" s="1" t="s">
        <v>116</v>
      </c>
      <c r="B20" s="1" t="s">
        <v>46</v>
      </c>
      <c r="C20" s="14" t="s">
        <v>47</v>
      </c>
      <c r="D20" s="3">
        <v>0.52083333333333337</v>
      </c>
      <c r="E20" s="14">
        <v>32000</v>
      </c>
      <c r="F20" s="14">
        <f>9600-960</f>
        <v>8640</v>
      </c>
      <c r="G20" s="15" t="s">
        <v>43</v>
      </c>
      <c r="H20" s="6" t="s">
        <v>48</v>
      </c>
      <c r="I20" s="28" t="s">
        <v>4</v>
      </c>
      <c r="J20" s="8">
        <f t="shared" si="0"/>
        <v>2160</v>
      </c>
      <c r="K20" s="10">
        <f t="shared" si="1"/>
        <v>2160</v>
      </c>
      <c r="L20" s="10"/>
      <c r="M20" s="10"/>
    </row>
    <row r="21" spans="1:13" ht="15.75" thickBot="1" x14ac:dyDescent="0.3">
      <c r="A21" s="1" t="s">
        <v>117</v>
      </c>
      <c r="B21" s="1" t="s">
        <v>49</v>
      </c>
      <c r="C21" s="14" t="s">
        <v>50</v>
      </c>
      <c r="D21" s="3">
        <v>0.64583333333333337</v>
      </c>
      <c r="E21" s="14">
        <v>25000</v>
      </c>
      <c r="F21" s="14">
        <f>E21*0.3-750</f>
        <v>6750</v>
      </c>
      <c r="G21" s="34" t="s">
        <v>2</v>
      </c>
      <c r="H21" s="6" t="s">
        <v>51</v>
      </c>
      <c r="I21" s="28" t="s">
        <v>21</v>
      </c>
      <c r="J21" s="8">
        <f>F21/4</f>
        <v>1687.5</v>
      </c>
      <c r="K21" s="10">
        <f t="shared" si="1"/>
        <v>1687.5</v>
      </c>
      <c r="L21" s="10"/>
      <c r="M21" s="10"/>
    </row>
    <row r="22" spans="1:13" ht="15.75" thickBot="1" x14ac:dyDescent="0.3">
      <c r="A22" s="1" t="s">
        <v>118</v>
      </c>
      <c r="B22" s="1" t="s">
        <v>52</v>
      </c>
      <c r="C22" s="14" t="s">
        <v>53</v>
      </c>
      <c r="D22" s="3">
        <v>0.35416666666666669</v>
      </c>
      <c r="E22" s="14">
        <v>30000</v>
      </c>
      <c r="F22" s="4">
        <f>9000-900</f>
        <v>8100</v>
      </c>
      <c r="G22" s="15" t="s">
        <v>8</v>
      </c>
      <c r="H22" s="6" t="s">
        <v>3</v>
      </c>
      <c r="I22" s="28" t="s">
        <v>4</v>
      </c>
      <c r="J22" s="8">
        <f t="shared" si="0"/>
        <v>2025</v>
      </c>
      <c r="K22" s="10">
        <f t="shared" si="1"/>
        <v>2025</v>
      </c>
      <c r="L22" s="10"/>
      <c r="M22" s="10"/>
    </row>
    <row r="23" spans="1:13" ht="15.75" thickBot="1" x14ac:dyDescent="0.3">
      <c r="A23" s="1" t="s">
        <v>119</v>
      </c>
      <c r="B23" s="1" t="s">
        <v>54</v>
      </c>
      <c r="C23" s="14" t="s">
        <v>53</v>
      </c>
      <c r="D23" s="3">
        <v>0.5</v>
      </c>
      <c r="E23" s="14">
        <v>35000</v>
      </c>
      <c r="F23" s="4">
        <f>E23*0.3-1050</f>
        <v>9450</v>
      </c>
      <c r="G23" s="5" t="s">
        <v>55</v>
      </c>
      <c r="H23" s="6" t="s">
        <v>20</v>
      </c>
      <c r="I23" s="28" t="s">
        <v>21</v>
      </c>
      <c r="J23" s="8">
        <f>F23/4</f>
        <v>2362.5</v>
      </c>
      <c r="K23" s="10">
        <f t="shared" si="1"/>
        <v>2362.5</v>
      </c>
      <c r="L23" s="10"/>
      <c r="M23" s="10"/>
    </row>
    <row r="24" spans="1:13" ht="15.75" thickBot="1" x14ac:dyDescent="0.3">
      <c r="A24" s="1" t="s">
        <v>120</v>
      </c>
      <c r="B24" s="1" t="s">
        <v>56</v>
      </c>
      <c r="C24" s="14" t="s">
        <v>57</v>
      </c>
      <c r="D24" s="3">
        <v>0.39583333333333331</v>
      </c>
      <c r="E24" s="14">
        <v>150000</v>
      </c>
      <c r="F24" s="4">
        <f>12173.4-1200</f>
        <v>10973.4</v>
      </c>
      <c r="G24" s="15" t="s">
        <v>3</v>
      </c>
      <c r="H24" s="6" t="s">
        <v>8</v>
      </c>
      <c r="I24" s="28" t="s">
        <v>4</v>
      </c>
      <c r="J24" s="8">
        <f t="shared" si="0"/>
        <v>2743.35</v>
      </c>
      <c r="K24" s="10">
        <f t="shared" si="1"/>
        <v>2743.35</v>
      </c>
      <c r="L24" s="10"/>
      <c r="M24" s="10"/>
    </row>
    <row r="25" spans="1:13" ht="15.75" thickBot="1" x14ac:dyDescent="0.3">
      <c r="A25" s="1" t="s">
        <v>121</v>
      </c>
      <c r="B25" s="1" t="s">
        <v>58</v>
      </c>
      <c r="C25" s="14" t="s">
        <v>57</v>
      </c>
      <c r="D25" s="3">
        <v>0.41666666666666669</v>
      </c>
      <c r="E25" s="14">
        <v>16474.14</v>
      </c>
      <c r="F25" s="31">
        <f>4942-490</f>
        <v>4452</v>
      </c>
      <c r="G25" s="15" t="s">
        <v>59</v>
      </c>
      <c r="H25" s="6" t="s">
        <v>59</v>
      </c>
      <c r="I25" s="28" t="s">
        <v>4</v>
      </c>
      <c r="J25" s="32">
        <f t="shared" si="0"/>
        <v>1113</v>
      </c>
      <c r="K25" s="10">
        <f>SUM(K5:K24)</f>
        <v>28741.594999999998</v>
      </c>
      <c r="L25" s="9" t="s">
        <v>60</v>
      </c>
      <c r="M25" s="35"/>
    </row>
    <row r="26" spans="1:13" x14ac:dyDescent="0.25">
      <c r="A26" s="26" t="s">
        <v>122</v>
      </c>
      <c r="B26" s="24" t="s">
        <v>61</v>
      </c>
      <c r="C26" s="24" t="s">
        <v>62</v>
      </c>
      <c r="D26" s="36" t="s">
        <v>63</v>
      </c>
      <c r="E26" s="37">
        <v>36000</v>
      </c>
      <c r="F26" s="38">
        <f>E26*0.35-1260</f>
        <v>11340</v>
      </c>
      <c r="G26" s="21" t="s">
        <v>43</v>
      </c>
      <c r="H26" s="39" t="s">
        <v>48</v>
      </c>
      <c r="I26" s="25" t="s">
        <v>4</v>
      </c>
      <c r="J26" s="40">
        <f>F26/4</f>
        <v>2835</v>
      </c>
      <c r="K26" s="41"/>
      <c r="L26" s="24" t="s">
        <v>64</v>
      </c>
      <c r="M26" s="42">
        <f>J24+J23+J22+J21+J20+J19+J15+J13+J12+J11+J10+J9+J8+J7+J6+J5+J4+J3+J2</f>
        <v>39599.117999999995</v>
      </c>
    </row>
    <row r="27" spans="1:13" x14ac:dyDescent="0.25">
      <c r="A27" s="16" t="s">
        <v>123</v>
      </c>
      <c r="B27" s="16" t="s">
        <v>61</v>
      </c>
      <c r="C27" s="16" t="s">
        <v>65</v>
      </c>
      <c r="D27" s="18">
        <v>0.5</v>
      </c>
      <c r="E27" s="43">
        <v>35000</v>
      </c>
      <c r="F27" s="44">
        <f>E27*0.3-1050</f>
        <v>9450</v>
      </c>
      <c r="G27" s="21" t="s">
        <v>12</v>
      </c>
      <c r="H27" s="6" t="s">
        <v>48</v>
      </c>
      <c r="I27" s="25" t="s">
        <v>13</v>
      </c>
      <c r="J27" s="44">
        <f>F27/2</f>
        <v>4725</v>
      </c>
      <c r="K27" s="37"/>
      <c r="L27" s="24"/>
      <c r="M27" s="45"/>
    </row>
    <row r="28" spans="1:13" x14ac:dyDescent="0.25">
      <c r="A28" s="16" t="s">
        <v>124</v>
      </c>
      <c r="B28" s="16" t="s">
        <v>66</v>
      </c>
      <c r="C28" s="16" t="s">
        <v>67</v>
      </c>
      <c r="D28" s="18">
        <v>0.4375</v>
      </c>
      <c r="E28" s="43">
        <v>47000</v>
      </c>
      <c r="F28" s="44">
        <f>10000-1000</f>
        <v>9000</v>
      </c>
      <c r="G28" s="21" t="s">
        <v>59</v>
      </c>
      <c r="H28" s="6" t="s">
        <v>16</v>
      </c>
      <c r="I28" s="25" t="s">
        <v>4</v>
      </c>
      <c r="J28" s="44">
        <f>F28/4</f>
        <v>2250</v>
      </c>
      <c r="K28" s="24"/>
      <c r="L28" s="24"/>
      <c r="M28" s="24"/>
    </row>
    <row r="29" spans="1:13" ht="15.75" thickBot="1" x14ac:dyDescent="0.3">
      <c r="A29" s="16" t="s">
        <v>125</v>
      </c>
      <c r="B29" s="16" t="s">
        <v>35</v>
      </c>
      <c r="C29" s="16" t="s">
        <v>68</v>
      </c>
      <c r="D29" s="18">
        <v>0.35416666666666669</v>
      </c>
      <c r="E29" s="43">
        <v>8000</v>
      </c>
      <c r="F29" s="46">
        <f>E29*0.3-240</f>
        <v>2160</v>
      </c>
      <c r="G29" s="26" t="s">
        <v>69</v>
      </c>
      <c r="H29" s="6" t="s">
        <v>16</v>
      </c>
      <c r="I29" s="25" t="s">
        <v>4</v>
      </c>
      <c r="J29" s="16"/>
      <c r="K29" s="24"/>
      <c r="L29" s="24"/>
      <c r="M29" s="24"/>
    </row>
    <row r="30" spans="1:13" ht="15.75" thickBot="1" x14ac:dyDescent="0.3">
      <c r="A30" s="16" t="s">
        <v>126</v>
      </c>
      <c r="B30" s="16" t="s">
        <v>70</v>
      </c>
      <c r="C30" s="16" t="s">
        <v>68</v>
      </c>
      <c r="D30" s="18">
        <v>6.25E-2</v>
      </c>
      <c r="E30" s="43">
        <v>50000</v>
      </c>
      <c r="F30" s="46">
        <f>E30*0.3-1500</f>
        <v>13500</v>
      </c>
      <c r="G30" s="26" t="s">
        <v>71</v>
      </c>
      <c r="H30" s="6" t="s">
        <v>16</v>
      </c>
      <c r="I30" s="25" t="s">
        <v>4</v>
      </c>
      <c r="J30" s="16"/>
      <c r="K30" s="24"/>
      <c r="L30" s="10"/>
      <c r="M30" s="10"/>
    </row>
    <row r="31" spans="1:13" ht="15.75" thickBot="1" x14ac:dyDescent="0.3">
      <c r="A31" s="1" t="s">
        <v>127</v>
      </c>
      <c r="B31" s="1" t="s">
        <v>72</v>
      </c>
      <c r="C31" s="2" t="s">
        <v>73</v>
      </c>
      <c r="D31" s="3">
        <v>0.41666666666666669</v>
      </c>
      <c r="E31" s="4">
        <v>70000</v>
      </c>
      <c r="F31" s="11">
        <f>21000-4200</f>
        <v>16800</v>
      </c>
      <c r="G31" s="5" t="s">
        <v>74</v>
      </c>
      <c r="H31" s="6" t="s">
        <v>48</v>
      </c>
      <c r="I31" s="28" t="s">
        <v>4</v>
      </c>
      <c r="J31" s="8"/>
      <c r="K31" s="9"/>
      <c r="L31" s="10"/>
      <c r="M31" s="10"/>
    </row>
    <row r="32" spans="1:13" ht="15.75" thickBot="1" x14ac:dyDescent="0.3">
      <c r="A32" s="1" t="s">
        <v>128</v>
      </c>
      <c r="B32" s="1" t="s">
        <v>75</v>
      </c>
      <c r="C32" s="2" t="s">
        <v>76</v>
      </c>
      <c r="D32" s="3">
        <v>0.39583333333333331</v>
      </c>
      <c r="E32" s="4">
        <v>47680.71</v>
      </c>
      <c r="F32" s="11">
        <f>23840.35-2400</f>
        <v>21440.35</v>
      </c>
      <c r="G32" s="5" t="s">
        <v>16</v>
      </c>
      <c r="H32" s="6" t="s">
        <v>16</v>
      </c>
      <c r="I32" s="28" t="s">
        <v>4</v>
      </c>
      <c r="J32" s="8"/>
      <c r="K32" s="9"/>
      <c r="L32" s="10"/>
      <c r="M32" s="10"/>
    </row>
    <row r="33" spans="1:13" ht="15.75" thickBot="1" x14ac:dyDescent="0.3">
      <c r="A33" s="1" t="s">
        <v>129</v>
      </c>
      <c r="B33" s="1" t="s">
        <v>44</v>
      </c>
      <c r="C33" s="2" t="s">
        <v>76</v>
      </c>
      <c r="D33" s="3">
        <v>0.41666666666666669</v>
      </c>
      <c r="E33" s="4">
        <v>30000</v>
      </c>
      <c r="F33" s="11">
        <f>9000-900</f>
        <v>8100</v>
      </c>
      <c r="G33" s="5" t="s">
        <v>77</v>
      </c>
      <c r="H33" s="6" t="s">
        <v>51</v>
      </c>
      <c r="I33" s="28" t="s">
        <v>21</v>
      </c>
      <c r="J33" s="8"/>
      <c r="K33" s="9"/>
      <c r="L33" s="10"/>
      <c r="M33" s="10"/>
    </row>
    <row r="34" spans="1:13" ht="15.75" thickBot="1" x14ac:dyDescent="0.3">
      <c r="A34" s="1" t="s">
        <v>130</v>
      </c>
      <c r="B34" s="1" t="s">
        <v>78</v>
      </c>
      <c r="C34" s="2" t="s">
        <v>79</v>
      </c>
      <c r="D34" s="3">
        <v>0.41666666666666669</v>
      </c>
      <c r="E34" s="4">
        <v>49000</v>
      </c>
      <c r="F34" s="11">
        <f>14700-147</f>
        <v>14553</v>
      </c>
      <c r="G34" s="5" t="s">
        <v>10</v>
      </c>
      <c r="H34" s="6" t="s">
        <v>48</v>
      </c>
      <c r="I34" s="28" t="s">
        <v>4</v>
      </c>
      <c r="J34" s="8"/>
      <c r="K34" s="9"/>
      <c r="L34" s="10"/>
      <c r="M34" s="10"/>
    </row>
    <row r="35" spans="1:13" ht="15.75" thickBot="1" x14ac:dyDescent="0.3">
      <c r="A35" s="1" t="s">
        <v>131</v>
      </c>
      <c r="B35" s="1" t="s">
        <v>78</v>
      </c>
      <c r="C35" s="2" t="s">
        <v>79</v>
      </c>
      <c r="D35" s="3">
        <v>0.41666666666666669</v>
      </c>
      <c r="E35" s="4">
        <v>51000</v>
      </c>
      <c r="F35" s="11">
        <f>15300-1530</f>
        <v>13770</v>
      </c>
      <c r="G35" s="5" t="s">
        <v>10</v>
      </c>
      <c r="H35" s="6" t="s">
        <v>48</v>
      </c>
      <c r="I35" s="28" t="s">
        <v>4</v>
      </c>
      <c r="J35" s="8"/>
      <c r="K35" s="9"/>
      <c r="L35" s="10"/>
      <c r="M35" s="10"/>
    </row>
    <row r="36" spans="1:13" ht="15.75" thickBot="1" x14ac:dyDescent="0.3">
      <c r="A36" s="1" t="s">
        <v>132</v>
      </c>
      <c r="B36" s="1" t="s">
        <v>80</v>
      </c>
      <c r="C36" s="2" t="s">
        <v>79</v>
      </c>
      <c r="D36" s="3">
        <v>0.52083333333333337</v>
      </c>
      <c r="E36" s="4">
        <v>48000</v>
      </c>
      <c r="F36" s="1">
        <f>E36*0.3-1440</f>
        <v>12960</v>
      </c>
      <c r="G36" s="5" t="s">
        <v>20</v>
      </c>
      <c r="H36" s="6" t="s">
        <v>10</v>
      </c>
      <c r="I36" s="28" t="s">
        <v>4</v>
      </c>
      <c r="J36" s="8"/>
      <c r="K36" s="9"/>
      <c r="L36" s="10"/>
      <c r="M36" s="10"/>
    </row>
    <row r="37" spans="1:13" ht="15.75" thickBot="1" x14ac:dyDescent="0.3">
      <c r="A37" s="1" t="s">
        <v>133</v>
      </c>
      <c r="B37" s="1" t="s">
        <v>81</v>
      </c>
      <c r="C37" s="2" t="s">
        <v>82</v>
      </c>
      <c r="D37" s="3">
        <v>0.39583333333333331</v>
      </c>
      <c r="E37" s="4">
        <v>25000</v>
      </c>
      <c r="F37" s="4">
        <f>7500-750</f>
        <v>6750</v>
      </c>
      <c r="G37" s="5" t="s">
        <v>83</v>
      </c>
      <c r="H37" s="6" t="s">
        <v>8</v>
      </c>
      <c r="I37" s="28" t="s">
        <v>4</v>
      </c>
      <c r="J37" s="8"/>
      <c r="K37" s="9"/>
    </row>
    <row r="38" spans="1:13" ht="15.75" thickBot="1" x14ac:dyDescent="0.3">
      <c r="A38" s="1" t="s">
        <v>114</v>
      </c>
      <c r="B38" s="1" t="s">
        <v>41</v>
      </c>
      <c r="C38" s="2" t="s">
        <v>84</v>
      </c>
      <c r="D38" s="3">
        <v>0.35416666666666669</v>
      </c>
      <c r="E38" s="4">
        <v>11867</v>
      </c>
      <c r="F38" s="1">
        <f>E38*0.3-350</f>
        <v>3210.1</v>
      </c>
      <c r="G38" s="5" t="s">
        <v>43</v>
      </c>
      <c r="H38" s="6" t="s">
        <v>16</v>
      </c>
      <c r="I38" s="28" t="s">
        <v>4</v>
      </c>
      <c r="J38" s="23"/>
      <c r="K38" s="24"/>
    </row>
    <row r="39" spans="1:13" ht="15.75" thickBot="1" x14ac:dyDescent="0.3">
      <c r="A39" s="47" t="s">
        <v>134</v>
      </c>
      <c r="B39" s="47" t="s">
        <v>85</v>
      </c>
      <c r="C39" s="48" t="s">
        <v>84</v>
      </c>
      <c r="D39" s="49">
        <v>0.52083333333333337</v>
      </c>
      <c r="E39" s="50">
        <v>40000</v>
      </c>
      <c r="F39" s="47">
        <f>E39*0.3-1200</f>
        <v>10800</v>
      </c>
      <c r="G39" s="51" t="s">
        <v>86</v>
      </c>
      <c r="H39" s="52" t="s">
        <v>86</v>
      </c>
      <c r="I39" s="53" t="s">
        <v>4</v>
      </c>
      <c r="J39" s="23"/>
      <c r="K39" s="24"/>
    </row>
    <row r="40" spans="1:13" ht="15.75" thickBot="1" x14ac:dyDescent="0.3">
      <c r="A40" s="47" t="s">
        <v>135</v>
      </c>
      <c r="B40" s="47" t="s">
        <v>87</v>
      </c>
      <c r="C40" s="47" t="s">
        <v>88</v>
      </c>
      <c r="D40" s="49">
        <v>0.4375</v>
      </c>
      <c r="E40" s="54">
        <v>22000</v>
      </c>
      <c r="F40" s="55">
        <f>6600-660</f>
        <v>5940</v>
      </c>
      <c r="G40" s="51" t="s">
        <v>10</v>
      </c>
      <c r="H40" s="56" t="s">
        <v>51</v>
      </c>
      <c r="I40" s="53" t="s">
        <v>4</v>
      </c>
      <c r="J40" s="23"/>
      <c r="K40" s="24"/>
    </row>
    <row r="41" spans="1:13" x14ac:dyDescent="0.25">
      <c r="A41" s="16" t="s">
        <v>136</v>
      </c>
      <c r="B41" s="16" t="s">
        <v>89</v>
      </c>
      <c r="C41" s="16" t="s">
        <v>90</v>
      </c>
      <c r="D41" s="18">
        <v>0.375</v>
      </c>
      <c r="E41" s="43">
        <v>6347.44</v>
      </c>
      <c r="F41" s="46">
        <f>E41*0.3-300</f>
        <v>1604.2319999999997</v>
      </c>
      <c r="G41" s="26" t="s">
        <v>91</v>
      </c>
      <c r="H41" s="52" t="s">
        <v>16</v>
      </c>
      <c r="I41" s="25" t="s">
        <v>13</v>
      </c>
      <c r="J41" s="23"/>
      <c r="K41" s="24"/>
    </row>
    <row r="42" spans="1:13" x14ac:dyDescent="0.25">
      <c r="A42" s="16" t="s">
        <v>137</v>
      </c>
      <c r="B42" s="16" t="s">
        <v>89</v>
      </c>
      <c r="C42" s="16" t="s">
        <v>92</v>
      </c>
      <c r="D42" s="18">
        <v>0.375</v>
      </c>
      <c r="E42" s="43">
        <v>8548.27</v>
      </c>
      <c r="F42" s="46">
        <f>E42*0.5-425</f>
        <v>3849.1350000000002</v>
      </c>
      <c r="G42" s="26" t="s">
        <v>91</v>
      </c>
      <c r="H42" s="52" t="s">
        <v>16</v>
      </c>
      <c r="I42" s="25" t="s">
        <v>13</v>
      </c>
      <c r="J42" s="23"/>
      <c r="K42" s="24"/>
    </row>
    <row r="43" spans="1:13" x14ac:dyDescent="0.25">
      <c r="A43" s="16" t="s">
        <v>138</v>
      </c>
      <c r="B43" s="16" t="s">
        <v>93</v>
      </c>
      <c r="C43" s="17" t="s">
        <v>94</v>
      </c>
      <c r="D43" s="18">
        <v>0.4375</v>
      </c>
      <c r="E43" s="20">
        <v>25000</v>
      </c>
      <c r="F43" s="20">
        <f>7500-750</f>
        <v>6750</v>
      </c>
      <c r="G43" s="26" t="s">
        <v>3</v>
      </c>
      <c r="H43" s="6" t="s">
        <v>95</v>
      </c>
      <c r="I43" s="25" t="s">
        <v>4</v>
      </c>
      <c r="J43" s="23"/>
      <c r="K43" s="24"/>
    </row>
    <row r="44" spans="1:13" x14ac:dyDescent="0.25">
      <c r="A44" s="16" t="s">
        <v>114</v>
      </c>
      <c r="B44" s="16" t="s">
        <v>96</v>
      </c>
      <c r="C44" s="17" t="s">
        <v>97</v>
      </c>
      <c r="D44" s="18">
        <v>0.35416666666666669</v>
      </c>
      <c r="E44" s="19">
        <v>11867</v>
      </c>
      <c r="F44" s="16">
        <f>E44*0.3-350</f>
        <v>3210.1</v>
      </c>
      <c r="G44" s="26" t="s">
        <v>43</v>
      </c>
      <c r="H44" s="6" t="s">
        <v>16</v>
      </c>
      <c r="I44" s="25" t="s">
        <v>4</v>
      </c>
      <c r="J44" s="23"/>
      <c r="K44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0001C-4F40-4F41-89E4-09FD474B2827}">
  <dimension ref="A1:M15"/>
  <sheetViews>
    <sheetView tabSelected="1" workbookViewId="0">
      <selection activeCell="M13" sqref="M13"/>
    </sheetView>
  </sheetViews>
  <sheetFormatPr baseColWidth="10" defaultRowHeight="15" x14ac:dyDescent="0.25"/>
  <cols>
    <col min="1" max="1" width="29.85546875" customWidth="1"/>
    <col min="2" max="2" width="31.7109375" customWidth="1"/>
    <col min="3" max="3" width="27.42578125" customWidth="1"/>
  </cols>
  <sheetData>
    <row r="1" spans="1:13" ht="15.75" thickBot="1" x14ac:dyDescent="0.3"/>
    <row r="2" spans="1:13" ht="15.75" thickBot="1" x14ac:dyDescent="0.3">
      <c r="A2" s="1" t="s">
        <v>127</v>
      </c>
      <c r="B2" s="1" t="s">
        <v>72</v>
      </c>
      <c r="C2" s="2" t="s">
        <v>73</v>
      </c>
      <c r="D2" s="3">
        <v>0.41666666666666669</v>
      </c>
      <c r="E2" s="4">
        <v>70000</v>
      </c>
      <c r="F2" s="11">
        <f>21000-4200</f>
        <v>16800</v>
      </c>
      <c r="G2" s="5" t="s">
        <v>74</v>
      </c>
      <c r="H2" s="6" t="s">
        <v>48</v>
      </c>
      <c r="I2" s="28" t="s">
        <v>4</v>
      </c>
      <c r="J2" s="8"/>
      <c r="K2" s="9"/>
      <c r="L2" s="10"/>
      <c r="M2" s="10"/>
    </row>
    <row r="3" spans="1:13" ht="15.75" thickBot="1" x14ac:dyDescent="0.3">
      <c r="A3" s="1" t="s">
        <v>128</v>
      </c>
      <c r="B3" s="1" t="s">
        <v>75</v>
      </c>
      <c r="C3" s="2" t="s">
        <v>76</v>
      </c>
      <c r="D3" s="3">
        <v>0.39583333333333331</v>
      </c>
      <c r="E3" s="4">
        <v>47680.71</v>
      </c>
      <c r="F3" s="11">
        <f>23840.35-2400</f>
        <v>21440.35</v>
      </c>
      <c r="G3" s="5" t="s">
        <v>16</v>
      </c>
      <c r="H3" s="6" t="s">
        <v>16</v>
      </c>
      <c r="I3" s="28" t="s">
        <v>4</v>
      </c>
      <c r="J3" s="8"/>
      <c r="K3" s="9"/>
      <c r="L3" s="10"/>
      <c r="M3" s="10"/>
    </row>
    <row r="4" spans="1:13" ht="15.75" thickBot="1" x14ac:dyDescent="0.3">
      <c r="A4" s="1" t="s">
        <v>129</v>
      </c>
      <c r="B4" s="1" t="s">
        <v>44</v>
      </c>
      <c r="C4" s="2" t="s">
        <v>76</v>
      </c>
      <c r="D4" s="3">
        <v>0.41666666666666669</v>
      </c>
      <c r="E4" s="4">
        <v>30000</v>
      </c>
      <c r="F4" s="11">
        <f>9000-900</f>
        <v>8100</v>
      </c>
      <c r="G4" s="5" t="s">
        <v>77</v>
      </c>
      <c r="H4" s="6" t="s">
        <v>51</v>
      </c>
      <c r="I4" s="28" t="s">
        <v>21</v>
      </c>
      <c r="J4" s="8"/>
      <c r="K4" s="9"/>
      <c r="L4" s="10"/>
      <c r="M4" s="10"/>
    </row>
    <row r="5" spans="1:13" ht="15.75" thickBot="1" x14ac:dyDescent="0.3">
      <c r="A5" s="1" t="s">
        <v>130</v>
      </c>
      <c r="B5" s="1" t="s">
        <v>78</v>
      </c>
      <c r="C5" s="2" t="s">
        <v>79</v>
      </c>
      <c r="D5" s="3">
        <v>0.41666666666666669</v>
      </c>
      <c r="E5" s="4">
        <v>49000</v>
      </c>
      <c r="F5" s="11">
        <f>14700-147</f>
        <v>14553</v>
      </c>
      <c r="G5" s="5" t="s">
        <v>10</v>
      </c>
      <c r="H5" s="6" t="s">
        <v>48</v>
      </c>
      <c r="I5" s="28" t="s">
        <v>4</v>
      </c>
      <c r="J5" s="8"/>
      <c r="K5" s="9"/>
      <c r="L5" s="10"/>
      <c r="M5" s="10"/>
    </row>
    <row r="6" spans="1:13" ht="15.75" thickBot="1" x14ac:dyDescent="0.3">
      <c r="A6" s="1" t="s">
        <v>131</v>
      </c>
      <c r="B6" s="1" t="s">
        <v>78</v>
      </c>
      <c r="C6" s="2" t="s">
        <v>79</v>
      </c>
      <c r="D6" s="3">
        <v>0.41666666666666669</v>
      </c>
      <c r="E6" s="4">
        <v>51000</v>
      </c>
      <c r="F6" s="11">
        <f>15300-1530</f>
        <v>13770</v>
      </c>
      <c r="G6" s="5" t="s">
        <v>10</v>
      </c>
      <c r="H6" s="6" t="s">
        <v>48</v>
      </c>
      <c r="I6" s="28" t="s">
        <v>4</v>
      </c>
      <c r="J6" s="8"/>
      <c r="K6" s="9"/>
      <c r="L6" s="10"/>
      <c r="M6" s="10"/>
    </row>
    <row r="7" spans="1:13" ht="15.75" thickBot="1" x14ac:dyDescent="0.3">
      <c r="A7" s="1" t="s">
        <v>132</v>
      </c>
      <c r="B7" s="1" t="s">
        <v>80</v>
      </c>
      <c r="C7" s="2" t="s">
        <v>79</v>
      </c>
      <c r="D7" s="3">
        <v>0.52083333333333337</v>
      </c>
      <c r="E7" s="4">
        <v>48000</v>
      </c>
      <c r="F7" s="1">
        <f>E7*0.3-1440</f>
        <v>12960</v>
      </c>
      <c r="G7" s="5" t="s">
        <v>20</v>
      </c>
      <c r="H7" s="6" t="s">
        <v>10</v>
      </c>
      <c r="I7" s="28" t="s">
        <v>4</v>
      </c>
      <c r="J7" s="8"/>
      <c r="K7" s="9"/>
      <c r="L7" s="10"/>
      <c r="M7" s="10"/>
    </row>
    <row r="8" spans="1:13" ht="15.75" thickBot="1" x14ac:dyDescent="0.3">
      <c r="A8" s="1" t="s">
        <v>133</v>
      </c>
      <c r="B8" s="1" t="s">
        <v>81</v>
      </c>
      <c r="C8" s="2" t="s">
        <v>82</v>
      </c>
      <c r="D8" s="3">
        <v>0.39583333333333331</v>
      </c>
      <c r="E8" s="4">
        <v>25000</v>
      </c>
      <c r="F8" s="4">
        <f>7500-750</f>
        <v>6750</v>
      </c>
      <c r="G8" s="5" t="s">
        <v>83</v>
      </c>
      <c r="H8" s="6" t="s">
        <v>8</v>
      </c>
      <c r="I8" s="28" t="s">
        <v>4</v>
      </c>
      <c r="J8" s="8"/>
      <c r="K8" s="9"/>
    </row>
    <row r="9" spans="1:13" ht="15.75" thickBot="1" x14ac:dyDescent="0.3">
      <c r="A9" s="1" t="s">
        <v>114</v>
      </c>
      <c r="B9" s="1" t="s">
        <v>41</v>
      </c>
      <c r="C9" s="2" t="s">
        <v>84</v>
      </c>
      <c r="D9" s="3">
        <v>0.35416666666666669</v>
      </c>
      <c r="E9" s="4">
        <v>11867</v>
      </c>
      <c r="F9" s="1">
        <f>E9*0.3-350</f>
        <v>3210.1</v>
      </c>
      <c r="G9" s="5" t="s">
        <v>43</v>
      </c>
      <c r="H9" s="6" t="s">
        <v>16</v>
      </c>
      <c r="I9" s="28" t="s">
        <v>4</v>
      </c>
      <c r="J9" s="23"/>
      <c r="K9" s="24"/>
    </row>
    <row r="10" spans="1:13" ht="15.75" thickBot="1" x14ac:dyDescent="0.3">
      <c r="A10" s="47" t="s">
        <v>134</v>
      </c>
      <c r="B10" s="47" t="s">
        <v>85</v>
      </c>
      <c r="C10" s="48" t="s">
        <v>84</v>
      </c>
      <c r="D10" s="49">
        <v>0.52083333333333337</v>
      </c>
      <c r="E10" s="50">
        <v>40000</v>
      </c>
      <c r="F10" s="47">
        <f>E10*0.3-1200</f>
        <v>10800</v>
      </c>
      <c r="G10" s="51" t="s">
        <v>86</v>
      </c>
      <c r="H10" s="52" t="s">
        <v>86</v>
      </c>
      <c r="I10" s="53" t="s">
        <v>4</v>
      </c>
      <c r="J10" s="23"/>
      <c r="K10" s="24"/>
    </row>
    <row r="11" spans="1:13" ht="15.75" thickBot="1" x14ac:dyDescent="0.3">
      <c r="A11" s="47" t="s">
        <v>135</v>
      </c>
      <c r="B11" s="47" t="s">
        <v>87</v>
      </c>
      <c r="C11" s="47" t="s">
        <v>88</v>
      </c>
      <c r="D11" s="49">
        <v>0.4375</v>
      </c>
      <c r="E11" s="54">
        <v>22000</v>
      </c>
      <c r="F11" s="55">
        <f>6600-660</f>
        <v>5940</v>
      </c>
      <c r="G11" s="51" t="s">
        <v>10</v>
      </c>
      <c r="H11" s="56" t="s">
        <v>51</v>
      </c>
      <c r="I11" s="53" t="s">
        <v>4</v>
      </c>
      <c r="J11" s="23"/>
      <c r="K11" s="24"/>
    </row>
    <row r="12" spans="1:13" x14ac:dyDescent="0.25">
      <c r="A12" s="16" t="s">
        <v>136</v>
      </c>
      <c r="B12" s="16" t="s">
        <v>89</v>
      </c>
      <c r="C12" s="16" t="s">
        <v>90</v>
      </c>
      <c r="D12" s="18">
        <v>0.375</v>
      </c>
      <c r="E12" s="43">
        <v>6347.44</v>
      </c>
      <c r="F12" s="46">
        <f>E12*0.3-300</f>
        <v>1604.2319999999997</v>
      </c>
      <c r="G12" s="26" t="s">
        <v>91</v>
      </c>
      <c r="H12" s="52" t="s">
        <v>16</v>
      </c>
      <c r="I12" s="25" t="s">
        <v>13</v>
      </c>
      <c r="J12" s="23"/>
      <c r="K12" s="24"/>
    </row>
    <row r="13" spans="1:13" x14ac:dyDescent="0.25">
      <c r="A13" s="16" t="s">
        <v>137</v>
      </c>
      <c r="B13" s="16" t="s">
        <v>89</v>
      </c>
      <c r="C13" s="16" t="s">
        <v>92</v>
      </c>
      <c r="D13" s="18">
        <v>0.375</v>
      </c>
      <c r="E13" s="43">
        <v>8548.27</v>
      </c>
      <c r="F13" s="46">
        <f>E13*0.5-425</f>
        <v>3849.1350000000002</v>
      </c>
      <c r="G13" s="26" t="s">
        <v>91</v>
      </c>
      <c r="H13" s="52" t="s">
        <v>16</v>
      </c>
      <c r="I13" s="25" t="s">
        <v>13</v>
      </c>
      <c r="J13" s="23"/>
      <c r="K13" s="24"/>
    </row>
    <row r="14" spans="1:13" x14ac:dyDescent="0.25">
      <c r="A14" s="16" t="s">
        <v>138</v>
      </c>
      <c r="B14" s="16" t="s">
        <v>93</v>
      </c>
      <c r="C14" s="17" t="s">
        <v>94</v>
      </c>
      <c r="D14" s="18">
        <v>0.4375</v>
      </c>
      <c r="E14" s="20">
        <v>25000</v>
      </c>
      <c r="F14" s="20">
        <f>7500-750</f>
        <v>6750</v>
      </c>
      <c r="G14" s="26" t="s">
        <v>3</v>
      </c>
      <c r="H14" s="6" t="s">
        <v>95</v>
      </c>
      <c r="I14" s="25" t="s">
        <v>4</v>
      </c>
      <c r="J14" s="23"/>
      <c r="K14" s="24"/>
    </row>
    <row r="15" spans="1:13" x14ac:dyDescent="0.25">
      <c r="A15" s="16" t="s">
        <v>114</v>
      </c>
      <c r="B15" s="16" t="s">
        <v>96</v>
      </c>
      <c r="C15" s="17" t="s">
        <v>97</v>
      </c>
      <c r="D15" s="18">
        <v>0.35416666666666669</v>
      </c>
      <c r="E15" s="19">
        <v>11867</v>
      </c>
      <c r="F15" s="16">
        <f>E15*0.3-350</f>
        <v>3210.1</v>
      </c>
      <c r="G15" s="26" t="s">
        <v>43</v>
      </c>
      <c r="H15" s="6" t="s">
        <v>16</v>
      </c>
      <c r="I15" s="25" t="s">
        <v>4</v>
      </c>
      <c r="J15" s="23"/>
      <c r="K15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JULIO</vt:lpstr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2026-07-30T21:47:31Z</dcterms:created>
  <dcterms:modified xsi:type="dcterms:W3CDTF">2026-07-30T22:01:01Z</dcterms:modified>
</cp:coreProperties>
</file>